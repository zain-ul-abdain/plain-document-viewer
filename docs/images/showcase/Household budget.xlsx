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2026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<sst xmlns="http://schemas.openxmlformats.org/spreadsheetml/2006/main" count="17" uniqueCount="16">
  <si>
    <t>Household budget 2026</t>
  </si>
  <si>
    <t>Category</t>
  </si>
  <si>
    <t>January</t>
  </si>
  <si>
    <t>February</t>
  </si>
  <si>
    <t>March</t>
  </si>
  <si>
    <t>April</t>
  </si>
  <si>
    <t>Total</t>
  </si>
  <si>
    <t>Rent</t>
  </si>
  <si>
    <t>Groceries</t>
  </si>
  <si>
    <t>Electricity and gas</t>
  </si>
  <si>
    <t>Internet and phone</t>
  </si>
  <si>
    <t>Transport</t>
  </si>
  <si>
    <t>Savings</t>
  </si>
  <si>
    <t>Other</t>
  </si>
  <si>
    <t>Budget notes</t>
  </si>
  <si>
    <t>Energy costs fall in spring; savings rise from March.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</si>
</sst>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color rgb="FF1D4ED8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3" fillId="0" borderId="0" xfId="0" applyNumberFormat="1" applyFont="1"/>
    <xf numFmtId="0" fontId="0" fillId="3" borderId="0" xfId="0" applyFill="1"/>
    <xf numFmtId="164" fontId="0" fillId="3" borderId="0" xfId="0" applyNumberFormat="1" applyFill="1"/>
    <xf numFmtId="164" fontId="3" fillId="3" borderId="0" xfId="0" applyNumberFormat="1" applyFont="1" applyFill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Monthly spending that changes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'Budget 2026'!$A$5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2563EB"/>
            </a:solidFill>
          </c:spPr>
          <c:cat>
            <c:strRef>
              <c:f>'Budget 2026'!$B$3:$E$3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'Budget 2026'!$B$5:$E$5</c:f>
              <c:numCache>
                <c:formatCode>General</c:formatCode>
                <c:ptCount val="4"/>
                <c:pt idx="0">
                  <c:v>412.5</c:v>
                </c:pt>
                <c:pt idx="1">
                  <c:v>389.2</c:v>
                </c:pt>
                <c:pt idx="2">
                  <c:v>430.75</c:v>
                </c:pt>
                <c:pt idx="3">
                  <c:v>405.1</c:v>
                </c:pt>
              </c:numCache>
            </c:numRef>
          </c:val>
        </c:ser>
        <c:ser>
          <c:idx val="1"/>
          <c:order val="1"/>
          <c:tx>
            <c:strRef>
              <c:f>'Budget 2026'!$A$6</c:f>
              <c:strCache>
                <c:ptCount val="1"/>
                <c:pt idx="0">
                  <c:v>Electricity and gas</c:v>
                </c:pt>
              </c:strCache>
            </c:strRef>
          </c:tx>
          <c:spPr>
            <a:solidFill>
              <a:srgbClr val="F59E0B"/>
            </a:solidFill>
          </c:spPr>
          <c:cat>
            <c:strRef>
              <c:f>'Budget 2026'!$B$3:$E$3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'Budget 2026'!$B$6:$E$6</c:f>
              <c:numCache>
                <c:formatCode>General</c:formatCode>
                <c:ptCount val="4"/>
                <c:pt idx="0">
                  <c:v>138.4</c:v>
                </c:pt>
                <c:pt idx="1">
                  <c:v>126.9</c:v>
                </c:pt>
                <c:pt idx="2">
                  <c:v>101.3</c:v>
                </c:pt>
                <c:pt idx="3">
                  <c:v>84.6</c:v>
                </c:pt>
              </c:numCache>
            </c:numRef>
          </c:val>
        </c:ser>
        <c:ser>
          <c:idx val="2"/>
          <c:order val="2"/>
          <c:tx>
            <c:strRef>
              <c:f>'Budget 2026'!$A$8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10B981"/>
            </a:solidFill>
          </c:spPr>
          <c:cat>
            <c:strRef>
              <c:f>'Budget 2026'!$B$3:$E$3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'Budget 2026'!$B$8:$E$8</c:f>
              <c:numCache>
                <c:formatCode>General</c:formatCode>
                <c:ptCount val="4"/>
                <c:pt idx="0">
                  <c:v>96</c:v>
                </c:pt>
                <c:pt idx="1">
                  <c:v>88.5</c:v>
                </c:pt>
                <c:pt idx="2">
                  <c:v>102</c:v>
                </c:pt>
                <c:pt idx="3">
                  <c:v>94.25</c:v>
                </c:pt>
              </c:numCache>
            </c:numRef>
          </c:val>
        </c:ser>
        <c:ser>
          <c:idx val="3"/>
          <c:order val="3"/>
          <c:tx>
            <c:strRef>
              <c:f>'Budget 2026'!$A$10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8B5CF6"/>
            </a:solidFill>
          </c:spPr>
          <c:cat>
            <c:strRef>
              <c:f>'Budget 2026'!$B$3:$E$3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'Budget 2026'!$B$10:$E$10</c:f>
              <c:numCache>
                <c:formatCode>General</c:formatCode>
                <c:ptCount val="4"/>
                <c:pt idx="0">
                  <c:v>64.9</c:v>
                </c:pt>
                <c:pt idx="1">
                  <c:v>120</c:v>
                </c:pt>
                <c:pt idx="2">
                  <c:v>45.5</c:v>
                </c:pt>
                <c:pt idx="3">
                  <c:v>88</c:v>
                </c:pt>
              </c:numCache>
            </c:numRef>
          </c:val>
        </c: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Where the money went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'Budget 2026'!$F$3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'Budget 2026'!$A$4:$A$10</c:f>
              <c:strCache>
                <c:ptCount val="7"/>
                <c:pt idx="0">
                  <c:v>Rent</c:v>
                </c:pt>
                <c:pt idx="1">
                  <c:v>Groceries</c:v>
                </c:pt>
                <c:pt idx="2">
                  <c:v>Electricity and gas</c:v>
                </c:pt>
                <c:pt idx="3">
                  <c:v>Internet and phone</c:v>
                </c:pt>
                <c:pt idx="4">
                  <c:v>Transport</c:v>
                </c:pt>
                <c:pt idx="5">
                  <c:v>Savings</c:v>
                </c:pt>
                <c:pt idx="6">
                  <c:v>Other</c:v>
                </c:pt>
              </c:strCache>
            </c:strRef>
          </c:cat>
          <c:val>
            <c:numRef>
              <c:f>'Budget 2026'!$F$4:$F$10</c:f>
              <c:numCache>
                <c:formatCode>General</c:formatCode>
                <c:ptCount val="7"/>
                <c:pt idx="0">
                  <c:v>3800</c:v>
                </c:pt>
                <c:pt idx="1">
                  <c:v>1637.55</c:v>
                </c:pt>
                <c:pt idx="2">
                  <c:v>451.2</c:v>
                </c:pt>
                <c:pt idx="3">
                  <c:v>220</c:v>
                </c:pt>
                <c:pt idx="4">
                  <c:v>380.75</c:v>
                </c:pt>
                <c:pt idx="5">
                  <c:v>1300</c:v>
                </c:pt>
                <c:pt idx="6">
                  <c:v>318.4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Monthly spend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3" name="Where the money w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Showcase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3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t="s">
        <v>7</v>
      </c>
      <c r="B4" s="4">
        <v>950</v>
      </c>
      <c r="C4" s="4">
        <v>950</v>
      </c>
      <c r="D4" s="4">
        <v>950</v>
      </c>
      <c r="E4" s="4">
        <v>950</v>
      </c>
      <c r="F4" s="5">
        <f>SUM(B4:E4)</f>
        <v>3800</v>
      </c>
    </row>
    <row r="5" spans="1:6" x14ac:dyDescent="0.25">
      <c r="A5" s="6" t="s">
        <v>8</v>
      </c>
      <c r="B5" s="7">
        <v>412.5</v>
      </c>
      <c r="C5" s="7">
        <v>389.2</v>
      </c>
      <c r="D5" s="7">
        <v>430.75</v>
      </c>
      <c r="E5" s="7">
        <v>405.1</v>
      </c>
      <c r="F5" s="8">
        <f>SUM(B5:E5)</f>
        <v>1637.5500000000002</v>
      </c>
    </row>
    <row r="6" spans="1:6" x14ac:dyDescent="0.25">
      <c r="A6" t="s">
        <v>9</v>
      </c>
      <c r="B6" s="4">
        <v>138.4</v>
      </c>
      <c r="C6" s="4">
        <v>126.9</v>
      </c>
      <c r="D6" s="4">
        <v>101.3</v>
      </c>
      <c r="E6" s="4">
        <v>84.6</v>
      </c>
      <c r="F6" s="5">
        <f>SUM(B6:E6)</f>
        <v>451.20000000000005</v>
      </c>
    </row>
    <row r="7" spans="1:6" x14ac:dyDescent="0.25">
      <c r="A7" s="6" t="s">
        <v>10</v>
      </c>
      <c r="B7" s="7">
        <v>55</v>
      </c>
      <c r="C7" s="7">
        <v>55</v>
      </c>
      <c r="D7" s="7">
        <v>55</v>
      </c>
      <c r="E7" s="7">
        <v>55</v>
      </c>
      <c r="F7" s="8">
        <f>SUM(B7:E7)</f>
        <v>220</v>
      </c>
    </row>
    <row r="8" spans="1:6" x14ac:dyDescent="0.25">
      <c r="A8" t="s">
        <v>11</v>
      </c>
      <c r="B8" s="4">
        <v>96</v>
      </c>
      <c r="C8" s="4">
        <v>88.5</v>
      </c>
      <c r="D8" s="4">
        <v>102</v>
      </c>
      <c r="E8" s="4">
        <v>94.25</v>
      </c>
      <c r="F8" s="5">
        <f>SUM(B8:E8)</f>
        <v>380.75</v>
      </c>
    </row>
    <row r="9" spans="1:6" x14ac:dyDescent="0.25">
      <c r="A9" s="6" t="s">
        <v>12</v>
      </c>
      <c r="B9" s="7">
        <v>300</v>
      </c>
      <c r="C9" s="7">
        <v>300</v>
      </c>
      <c r="D9" s="7">
        <v>350</v>
      </c>
      <c r="E9" s="7">
        <v>350</v>
      </c>
      <c r="F9" s="8">
        <f>SUM(B9:E9)</f>
        <v>1300</v>
      </c>
    </row>
    <row r="10" spans="1:6" x14ac:dyDescent="0.25">
      <c r="A10" t="s">
        <v>13</v>
      </c>
      <c r="B10" s="4">
        <v>64.9</v>
      </c>
      <c r="C10" s="4">
        <v>120</v>
      </c>
      <c r="D10" s="4">
        <v>45.5</v>
      </c>
      <c r="E10" s="4">
        <v>88</v>
      </c>
      <c r="F10" s="5">
        <f>SUM(B10:E10)</f>
        <v>318.4</v>
      </c>
    </row>
    <row r="11" spans="1:6" x14ac:dyDescent="0.25">
      <c r="A11" s="9" t="s">
        <v>6</v>
      </c>
      <c r="B11" s="10">
        <f>SUM(B4:B10)</f>
        <v>2016.8000000000002</v>
      </c>
      <c r="C11" s="10">
        <f>SUM(C4:C10)</f>
        <v>2029.6000000000001</v>
      </c>
      <c r="D11" s="10">
        <f>SUM(D4:D10)</f>
        <v>2034.55</v>
      </c>
      <c r="E11" s="10">
        <f>SUM(E4:E10)</f>
        <v>2026.9499999999998</v>
      </c>
      <c r="F11" s="10">
        <f>SUM(F4:F10)</f>
        <v>8107.9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  <drawing r:id="rIdShowcaseDrawing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1" t="s">
        <v>14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2026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showcase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